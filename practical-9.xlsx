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Users\jayesh.khadye\Desktop\test-repo\"/>
    </mc:Choice>
  </mc:AlternateContent>
  <xr:revisionPtr revIDLastSave="0" documentId="8_{23911046-1670-4483-90EA-8373DD04AA4B}" xr6:coauthVersionLast="47" xr6:coauthVersionMax="47" xr10:uidLastSave="{00000000-0000-0000-0000-000000000000}"/>
  <bookViews>
    <workbookView xWindow="-108" yWindow="-108" windowWidth="23256" windowHeight="13896" xr2:uid="{739D932A-5D7E-41A0-B049-2FF1912ECCF1}"/>
  </bookViews>
  <sheets>
    <sheet name="Profit Model" sheetId="1" r:id="rId1"/>
    <sheet name="Audit Guid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18" i="1" l="1"/>
  <c r="E17" i="1"/>
  <c r="E16" i="1"/>
  <c r="D18" i="1"/>
  <c r="D17" i="1"/>
  <c r="D16" i="1"/>
  <c r="B11" i="1"/>
  <c r="B10" i="1"/>
  <c r="B9" i="1"/>
  <c r="B8" i="1"/>
</calcChain>
</file>

<file path=xl/sharedStrings.xml><?xml version="1.0" encoding="utf-8"?>
<sst xmlns="http://schemas.openxmlformats.org/spreadsheetml/2006/main" count="54" uniqueCount="54">
  <si>
    <t>Company Profit Model</t>
  </si>
  <si>
    <t>Units Sold</t>
  </si>
  <si>
    <t>Selling Price per Unit</t>
  </si>
  <si>
    <t>Cost per Unit</t>
  </si>
  <si>
    <t>Fixed Cost</t>
  </si>
  <si>
    <t>Total Revenue</t>
  </si>
  <si>
    <t>Total Variable Cost</t>
  </si>
  <si>
    <t>Total Cost</t>
  </si>
  <si>
    <t>Profit</t>
  </si>
  <si>
    <t>Model Testing Table</t>
  </si>
  <si>
    <t>Test Case</t>
  </si>
  <si>
    <t>Input (Units)</t>
  </si>
  <si>
    <t>Expected Profit</t>
  </si>
  <si>
    <t>Actual Profit</t>
  </si>
  <si>
    <t>Status</t>
  </si>
  <si>
    <t>Test 1</t>
  </si>
  <si>
    <t>Test 2</t>
  </si>
  <si>
    <t>Test 3</t>
  </si>
  <si>
    <t>Practical 9 — Auditing and Testing</t>
  </si>
  <si>
    <t>Aim</t>
  </si>
  <si>
    <t>Create a simple financial model and verify its formulas and calculations using Excel auditing and testing tools.</t>
  </si>
  <si>
    <t>Tool</t>
  </si>
  <si>
    <t>Purpose</t>
  </si>
  <si>
    <t>How to Use</t>
  </si>
  <si>
    <t>Expected Check</t>
  </si>
  <si>
    <t>Trace Precedents</t>
  </si>
  <si>
    <t>Shows cells used by a formula</t>
  </si>
  <si>
    <t>Select Profit Model!B11, then Formulas &gt; Trace Precedents</t>
  </si>
  <si>
    <t>Arrows from B8 and B10 to B11</t>
  </si>
  <si>
    <t>Trace Dependents</t>
  </si>
  <si>
    <t>Shows formulas affected by a cell</t>
  </si>
  <si>
    <t>Select Profit Model!B3, then Formulas &gt; Trace Dependents</t>
  </si>
  <si>
    <t>B3 affects B8 and B9</t>
  </si>
  <si>
    <t>Show Formulas</t>
  </si>
  <si>
    <t>Displays formulas instead of results</t>
  </si>
  <si>
    <t>Formulas &gt; Show Formulas; click again to return</t>
  </si>
  <si>
    <t>B8:B11 display their formulas</t>
  </si>
  <si>
    <t>Error Checking</t>
  </si>
  <si>
    <t>Finds common spreadsheet errors</t>
  </si>
  <si>
    <t>Formulas &gt; Error Checking</t>
  </si>
  <si>
    <t>No errors in the model</t>
  </si>
  <si>
    <t>Evaluate Formula</t>
  </si>
  <si>
    <t>Calculates a formula step by step</t>
  </si>
  <si>
    <t>Select Profit Model!B11, then Formulas &gt; Evaluate Formula</t>
  </si>
  <si>
    <t>600000 - 500000 = 100000</t>
  </si>
  <si>
    <t>Common Error</t>
  </si>
  <si>
    <t>Meaning</t>
  </si>
  <si>
    <t>A number is divided by zero</t>
  </si>
  <si>
    <t>Wrong data type is used</t>
  </si>
  <si>
    <t>Invalid cell reference</t>
  </si>
  <si>
    <t>Formula name is incorrect</t>
  </si>
  <si>
    <t>Value is not available</t>
  </si>
  <si>
    <t>Testing Practice</t>
  </si>
  <si>
    <t>Change Units Sold in Profit Model!B3 and confirm that revenue, variable cost, total cost, and profit recalculate correctly. The testing table checks 500, 600, and 700 units without changing the main input.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</si>
</sst>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8"/>
      <color rgb="FFFFFFFF"/>
      <name val="Aptos"/>
    </font>
    <font>
      <sz val="11"/>
      <color theme="1"/>
      <name val="Aptos"/>
    </font>
    <font>
      <b/>
      <sz val="11"/>
      <color theme="1"/>
      <name val="Aptos"/>
    </font>
    <font>
      <b/>
      <sz val="11"/>
      <color rgb="FFFFFFFF"/>
      <name val="Aptos"/>
    </font>
    <font>
      <b/>
      <sz val="17"/>
      <color rgb="FFFFFFFF"/>
      <name val="Aptos"/>
    </font>
    <font>
      <b/>
      <sz val="11"/>
      <color rgb="FF17365D"/>
      <name val="Aptos"/>
    </font>
  </fonts>
  <fills count="8">
    <fill>
      <patternFill patternType="none"/>
    </fill>
    <fill>
      <patternFill patternType="gray125"/>
    </fill>
    <fill>
      <patternFill patternType="solid">
        <fgColor rgb="FF17365D"/>
        <bgColor indexed="64"/>
      </patternFill>
    </fill>
    <fill>
      <patternFill patternType="solid">
        <fgColor rgb="FFEAF2F8"/>
        <bgColor indexed="64"/>
      </patternFill>
    </fill>
    <fill>
      <patternFill patternType="solid">
        <fgColor rgb="FFFFF2CC"/>
        <bgColor indexed="64"/>
      </patternFill>
    </fill>
    <fill>
      <patternFill patternType="solid">
        <fgColor rgb="FFE2F0D9"/>
        <bgColor indexed="64"/>
      </patternFill>
    </fill>
    <fill>
      <patternFill patternType="solid">
        <fgColor rgb="FFF4B183"/>
        <bgColor indexed="64"/>
      </patternFill>
    </fill>
    <fill>
      <patternFill patternType="solid">
        <fgColor rgb="FFD9EAF7"/>
        <bgColor indexed="64"/>
      </patternFill>
    </fill>
  </fills>
  <borders count="5">
    <border>
      <left/>
      <right/>
      <top/>
      <bottom/>
      <diagonal/>
    </border>
    <border>
      <left/>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28">
    <xf numFmtId="0" fontId="0" fillId="0" borderId="0" xfId="0"/>
    <xf numFmtId="0" fontId="2" fillId="0" borderId="0" xfId="0" applyFont="1"/>
    <xf numFmtId="0" fontId="1" fillId="2" borderId="0" xfId="0" applyFont="1" applyFill="1" applyAlignment="1">
      <alignment vertical="center"/>
    </xf>
    <xf numFmtId="0" fontId="2" fillId="0" borderId="0" xfId="0" applyFont="1" applyAlignment="1">
      <alignment vertical="center"/>
    </xf>
    <xf numFmtId="0" fontId="3" fillId="3" borderId="0" xfId="0" applyFont="1" applyFill="1" applyAlignment="1">
      <alignment vertical="center"/>
    </xf>
    <xf numFmtId="0" fontId="3" fillId="0" borderId="0" xfId="0" applyFont="1" applyBorder="1" applyAlignment="1">
      <alignment vertical="center"/>
    </xf>
    <xf numFmtId="0" fontId="3" fillId="5" borderId="1" xfId="0" applyFont="1" applyFill="1" applyBorder="1" applyAlignment="1">
      <alignment vertical="center"/>
    </xf>
    <xf numFmtId="0" fontId="4" fillId="2" borderId="0" xfId="0" applyFont="1" applyFill="1" applyAlignment="1">
      <alignment vertical="center"/>
    </xf>
    <xf numFmtId="0" fontId="2" fillId="4" borderId="0" xfId="0" applyFont="1" applyFill="1" applyAlignment="1">
      <alignment horizontal="right" vertical="center"/>
    </xf>
    <xf numFmtId="3" fontId="2" fillId="4" borderId="0" xfId="0" applyNumberFormat="1" applyFont="1" applyFill="1" applyAlignment="1">
      <alignment horizontal="right" vertical="center"/>
    </xf>
    <xf numFmtId="0" fontId="2" fillId="0" borderId="0" xfId="0" applyFont="1" applyAlignment="1">
      <alignment horizontal="right" vertical="center"/>
    </xf>
    <xf numFmtId="3" fontId="2" fillId="0" borderId="0" xfId="0" applyNumberFormat="1" applyFont="1" applyBorder="1" applyAlignment="1">
      <alignment horizontal="right" vertical="center"/>
    </xf>
    <xf numFmtId="3" fontId="3" fillId="5" borderId="1" xfId="0" applyNumberFormat="1" applyFont="1" applyFill="1" applyBorder="1" applyAlignment="1">
      <alignment horizontal="right" vertical="center"/>
    </xf>
    <xf numFmtId="0" fontId="4" fillId="2" borderId="0" xfId="0" applyFont="1" applyFill="1" applyAlignment="1">
      <alignment horizontal="right" vertical="center"/>
    </xf>
    <xf numFmtId="0" fontId="2" fillId="0" borderId="2" xfId="0" applyFont="1" applyBorder="1" applyAlignment="1">
      <alignment horizontal="right" vertical="center"/>
    </xf>
    <xf numFmtId="3" fontId="2" fillId="0" borderId="2" xfId="0" applyNumberFormat="1" applyFont="1" applyBorder="1" applyAlignment="1">
      <alignment horizontal="right" vertical="center"/>
    </xf>
    <xf numFmtId="0" fontId="5" fillId="2" borderId="0" xfId="0" applyFont="1" applyFill="1"/>
    <xf numFmtId="0" fontId="6" fillId="0" borderId="0" xfId="0" applyFont="1"/>
    <xf numFmtId="0" fontId="2" fillId="0" borderId="0" xfId="0" applyFont="1" applyAlignment="1">
      <alignment wrapText="1"/>
    </xf>
    <xf numFmtId="0" fontId="3" fillId="6" borderId="0" xfId="0" applyFont="1" applyFill="1"/>
    <xf numFmtId="0" fontId="2" fillId="0" borderId="0" xfId="0" applyFont="1" applyAlignment="1">
      <alignment wrapText="1"/>
    </xf>
    <xf numFmtId="0" fontId="3" fillId="7" borderId="0" xfId="0" applyFont="1" applyFill="1"/>
    <xf numFmtId="0" fontId="3" fillId="6" borderId="2" xfId="0" applyFont="1" applyFill="1" applyBorder="1" applyAlignment="1">
      <alignment vertical="center"/>
    </xf>
    <xf numFmtId="0" fontId="3" fillId="6" borderId="2" xfId="0" applyFont="1" applyFill="1" applyBorder="1" applyAlignment="1">
      <alignment horizontal="right" vertical="center"/>
    </xf>
    <xf numFmtId="0" fontId="3" fillId="6" borderId="3" xfId="0" applyFont="1" applyFill="1" applyBorder="1" applyAlignment="1">
      <alignment vertical="center"/>
    </xf>
    <xf numFmtId="0" fontId="2" fillId="0" borderId="3" xfId="0" applyFont="1" applyBorder="1" applyAlignment="1">
      <alignment vertical="center"/>
    </xf>
    <xf numFmtId="0" fontId="3" fillId="6" borderId="4" xfId="0" applyFont="1" applyFill="1" applyBorder="1" applyAlignment="1">
      <alignment vertical="center"/>
    </xf>
    <xf numFmtId="0" fontId="2" fillId="0" borderId="4" xfId="0" applyFont="1" applyBorder="1" applyAlignment="1">
      <alignment vertical="center"/>
    </xf>
  </cellXfs>
  <cellStyles count="1">
    <cellStyle name="Normal" xfId="0" builtinId="0"/>
  </cellStyles>
  <dxfs count="2">
    <dxf>
      <font>
        <b/>
        <i val="0"/>
        <color rgb="FF9C0006"/>
      </font>
      <fill>
        <patternFill patternType="solid">
          <fgColor indexed="64"/>
          <bgColor rgb="FFFFC7CE"/>
        </patternFill>
      </fill>
    </dxf>
    <dxf>
      <font>
        <b/>
        <i val="0"/>
        <color rgb="FF006100"/>
      </font>
      <fill>
        <patternFill patternType="solid">
          <fgColor indexed="64"/>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ADED8-2931-4521-9D98-3699C0430F91}">
  <dimension ref="A1:E18"/>
  <sheetViews>
    <sheetView tabSelected="1" workbookViewId="0">
      <selection activeCell="E24" sqref="E24"/>
    </sheetView>
  </sheetViews>
  <sheetFormatPr defaultRowHeight="14.4" x14ac:dyDescent="0.3"/>
  <cols>
    <col min="1" max="1" width="28.6640625" customWidth="1"/>
    <col min="2" max="4" width="19.44140625" customWidth="1"/>
    <col min="5" max="5" width="13.88671875" customWidth="1"/>
  </cols>
  <sheetData>
    <row r="1" spans="1:5" ht="23.4" x14ac:dyDescent="0.3">
      <c r="A1" s="2" t="s">
        <v>0</v>
      </c>
      <c r="B1" s="2"/>
      <c r="C1" s="2"/>
      <c r="D1" s="2"/>
      <c r="E1" s="2"/>
    </row>
    <row r="2" spans="1:5" x14ac:dyDescent="0.3">
      <c r="A2" s="3"/>
      <c r="B2" s="3"/>
      <c r="C2" s="3"/>
      <c r="D2" s="3"/>
      <c r="E2" s="3"/>
    </row>
    <row r="3" spans="1:5" x14ac:dyDescent="0.3">
      <c r="A3" s="4" t="s">
        <v>1</v>
      </c>
      <c r="B3" s="8">
        <v>500</v>
      </c>
      <c r="C3" s="3"/>
      <c r="D3" s="3"/>
      <c r="E3" s="3"/>
    </row>
    <row r="4" spans="1:5" x14ac:dyDescent="0.3">
      <c r="A4" s="4" t="s">
        <v>2</v>
      </c>
      <c r="B4" s="9">
        <v>1200</v>
      </c>
      <c r="C4" s="3"/>
      <c r="D4" s="3"/>
      <c r="E4" s="3"/>
    </row>
    <row r="5" spans="1:5" x14ac:dyDescent="0.3">
      <c r="A5" s="4" t="s">
        <v>3</v>
      </c>
      <c r="B5" s="9">
        <v>800</v>
      </c>
      <c r="C5" s="3"/>
      <c r="D5" s="3"/>
      <c r="E5" s="3"/>
    </row>
    <row r="6" spans="1:5" x14ac:dyDescent="0.3">
      <c r="A6" s="4" t="s">
        <v>4</v>
      </c>
      <c r="B6" s="9">
        <v>100000</v>
      </c>
      <c r="C6" s="3"/>
      <c r="D6" s="3"/>
      <c r="E6" s="3"/>
    </row>
    <row r="7" spans="1:5" x14ac:dyDescent="0.3">
      <c r="A7" s="3"/>
      <c r="B7" s="10"/>
      <c r="C7" s="3"/>
      <c r="D7" s="3"/>
      <c r="E7" s="3"/>
    </row>
    <row r="8" spans="1:5" x14ac:dyDescent="0.3">
      <c r="A8" s="5" t="s">
        <v>5</v>
      </c>
      <c r="B8" s="11">
        <f>B3*B4</f>
        <v>600000</v>
      </c>
      <c r="C8" s="3"/>
      <c r="D8" s="3"/>
      <c r="E8" s="3"/>
    </row>
    <row r="9" spans="1:5" x14ac:dyDescent="0.3">
      <c r="A9" s="5" t="s">
        <v>6</v>
      </c>
      <c r="B9" s="11">
        <f>B3*B5</f>
        <v>400000</v>
      </c>
      <c r="C9" s="3"/>
      <c r="D9" s="3"/>
      <c r="E9" s="3"/>
    </row>
    <row r="10" spans="1:5" x14ac:dyDescent="0.3">
      <c r="A10" s="5" t="s">
        <v>7</v>
      </c>
      <c r="B10" s="11">
        <f>B9+B6</f>
        <v>500000</v>
      </c>
      <c r="C10" s="3"/>
      <c r="D10" s="3"/>
      <c r="E10" s="3"/>
    </row>
    <row r="11" spans="1:5" x14ac:dyDescent="0.3">
      <c r="A11" s="6" t="s">
        <v>8</v>
      </c>
      <c r="B11" s="12">
        <f>B8-B10</f>
        <v>100000</v>
      </c>
      <c r="C11" s="3"/>
      <c r="D11" s="3"/>
      <c r="E11" s="3"/>
    </row>
    <row r="12" spans="1:5" x14ac:dyDescent="0.3">
      <c r="A12" s="3"/>
      <c r="B12" s="10"/>
      <c r="C12" s="3"/>
      <c r="D12" s="3"/>
      <c r="E12" s="3"/>
    </row>
    <row r="13" spans="1:5" x14ac:dyDescent="0.3">
      <c r="A13" s="7" t="s">
        <v>9</v>
      </c>
      <c r="B13" s="13"/>
      <c r="C13" s="7"/>
      <c r="D13" s="7"/>
      <c r="E13" s="7"/>
    </row>
    <row r="14" spans="1:5" x14ac:dyDescent="0.3">
      <c r="A14" s="3"/>
      <c r="B14" s="10"/>
      <c r="C14" s="3"/>
      <c r="D14" s="3"/>
      <c r="E14" s="3"/>
    </row>
    <row r="15" spans="1:5" x14ac:dyDescent="0.3">
      <c r="A15" s="24" t="s">
        <v>10</v>
      </c>
      <c r="B15" s="23" t="s">
        <v>11</v>
      </c>
      <c r="C15" s="22" t="s">
        <v>12</v>
      </c>
      <c r="D15" s="22" t="s">
        <v>13</v>
      </c>
      <c r="E15" s="26" t="s">
        <v>14</v>
      </c>
    </row>
    <row r="16" spans="1:5" x14ac:dyDescent="0.3">
      <c r="A16" s="25" t="s">
        <v>15</v>
      </c>
      <c r="B16" s="14">
        <v>500</v>
      </c>
      <c r="C16" s="15">
        <v>100000</v>
      </c>
      <c r="D16" s="15">
        <f>B16*($B$4-$B$5)-$B$6</f>
        <v>100000</v>
      </c>
      <c r="E16" s="27" t="str">
        <f>IF(D16=C16,"Pass","Fail")</f>
        <v>Pass</v>
      </c>
    </row>
    <row r="17" spans="1:5" x14ac:dyDescent="0.3">
      <c r="A17" s="25" t="s">
        <v>16</v>
      </c>
      <c r="B17" s="14">
        <v>600</v>
      </c>
      <c r="C17" s="15">
        <v>140000</v>
      </c>
      <c r="D17" s="15">
        <f t="shared" ref="D17:D18" si="0">B17*($B$4-$B$5)-$B$6</f>
        <v>140000</v>
      </c>
      <c r="E17" s="27" t="str">
        <f t="shared" ref="E17:E18" si="1">IF(D17=C17,"Pass","Fail")</f>
        <v>Pass</v>
      </c>
    </row>
    <row r="18" spans="1:5" x14ac:dyDescent="0.3">
      <c r="A18" s="25" t="s">
        <v>17</v>
      </c>
      <c r="B18" s="14">
        <v>700</v>
      </c>
      <c r="C18" s="15">
        <v>180000</v>
      </c>
      <c r="D18" s="15">
        <f t="shared" si="0"/>
        <v>180000</v>
      </c>
      <c r="E18" s="27" t="str">
        <f t="shared" si="1"/>
        <v>Pass</v>
      </c>
    </row>
  </sheetData>
  <mergeCells count="2">
    <mergeCell ref="A1:E1"/>
    <mergeCell ref="A13:E13"/>
  </mergeCells>
  <conditionalFormatting sqref="E16:E18">
    <cfRule type="expression" dxfId="1" priority="1">
      <formula>E16="Pass"</formula>
    </cfRule>
  </conditionalFormatting>
  <conditionalFormatting sqref="E16:E18">
    <cfRule type="expression" dxfId="0" priority="2">
      <formula>E16="Fail"</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4275E-0002-4369-996C-B91260F46662}">
  <dimension ref="A1:D21"/>
  <sheetViews>
    <sheetView topLeftCell="A6" workbookViewId="0">
      <selection activeCell="A21" sqref="A21:D21"/>
    </sheetView>
  </sheetViews>
  <sheetFormatPr defaultRowHeight="14.4" x14ac:dyDescent="0.3"/>
  <cols>
    <col min="1" max="1" width="21.33203125" customWidth="1"/>
    <col min="2" max="2" width="31.44140625" customWidth="1"/>
    <col min="3" max="3" width="45.33203125" customWidth="1"/>
    <col min="4" max="4" width="38" customWidth="1"/>
  </cols>
  <sheetData>
    <row r="1" spans="1:4" ht="22.2" x14ac:dyDescent="0.45">
      <c r="A1" s="16" t="s">
        <v>18</v>
      </c>
      <c r="B1" s="16"/>
      <c r="C1" s="16"/>
      <c r="D1" s="16"/>
    </row>
    <row r="2" spans="1:4" x14ac:dyDescent="0.3">
      <c r="A2" s="1"/>
      <c r="B2" s="1"/>
      <c r="C2" s="1"/>
      <c r="D2" s="1"/>
    </row>
    <row r="3" spans="1:4" x14ac:dyDescent="0.3">
      <c r="A3" s="17" t="s">
        <v>19</v>
      </c>
      <c r="B3" s="1"/>
      <c r="C3" s="1"/>
      <c r="D3" s="1"/>
    </row>
    <row r="4" spans="1:4" ht="34.049999999999997" customHeight="1" x14ac:dyDescent="0.3">
      <c r="A4" s="18" t="s">
        <v>20</v>
      </c>
      <c r="B4" s="18"/>
      <c r="C4" s="18"/>
      <c r="D4" s="18"/>
    </row>
    <row r="5" spans="1:4" x14ac:dyDescent="0.3">
      <c r="A5" s="1"/>
      <c r="B5" s="1"/>
      <c r="C5" s="1"/>
      <c r="D5" s="1"/>
    </row>
    <row r="6" spans="1:4" x14ac:dyDescent="0.3">
      <c r="A6" s="19" t="s">
        <v>21</v>
      </c>
      <c r="B6" s="19" t="s">
        <v>22</v>
      </c>
      <c r="C6" s="19" t="s">
        <v>23</v>
      </c>
      <c r="D6" s="19" t="s">
        <v>24</v>
      </c>
    </row>
    <row r="7" spans="1:4" ht="43.95" customHeight="1" x14ac:dyDescent="0.3">
      <c r="A7" s="1" t="s">
        <v>25</v>
      </c>
      <c r="B7" s="20" t="s">
        <v>26</v>
      </c>
      <c r="C7" s="20" t="s">
        <v>27</v>
      </c>
      <c r="D7" s="20" t="s">
        <v>28</v>
      </c>
    </row>
    <row r="8" spans="1:4" ht="43.95" customHeight="1" x14ac:dyDescent="0.3">
      <c r="A8" s="1" t="s">
        <v>29</v>
      </c>
      <c r="B8" s="20" t="s">
        <v>30</v>
      </c>
      <c r="C8" s="20" t="s">
        <v>31</v>
      </c>
      <c r="D8" s="20" t="s">
        <v>32</v>
      </c>
    </row>
    <row r="9" spans="1:4" ht="43.95" customHeight="1" x14ac:dyDescent="0.3">
      <c r="A9" s="1" t="s">
        <v>33</v>
      </c>
      <c r="B9" s="20" t="s">
        <v>34</v>
      </c>
      <c r="C9" s="20" t="s">
        <v>35</v>
      </c>
      <c r="D9" s="20" t="s">
        <v>36</v>
      </c>
    </row>
    <row r="10" spans="1:4" ht="43.95" customHeight="1" x14ac:dyDescent="0.3">
      <c r="A10" s="1" t="s">
        <v>37</v>
      </c>
      <c r="B10" s="20" t="s">
        <v>38</v>
      </c>
      <c r="C10" s="20" t="s">
        <v>39</v>
      </c>
      <c r="D10" s="20" t="s">
        <v>40</v>
      </c>
    </row>
    <row r="11" spans="1:4" ht="43.95" customHeight="1" x14ac:dyDescent="0.3">
      <c r="A11" s="1" t="s">
        <v>41</v>
      </c>
      <c r="B11" s="20" t="s">
        <v>42</v>
      </c>
      <c r="C11" s="20" t="s">
        <v>43</v>
      </c>
      <c r="D11" s="20" t="s">
        <v>44</v>
      </c>
    </row>
    <row r="12" spans="1:4" x14ac:dyDescent="0.3">
      <c r="A12" s="1"/>
      <c r="B12" s="1"/>
      <c r="C12" s="1"/>
      <c r="D12" s="1"/>
    </row>
    <row r="13" spans="1:4" x14ac:dyDescent="0.3">
      <c r="A13" s="21" t="s">
        <v>45</v>
      </c>
      <c r="B13" s="21" t="s">
        <v>46</v>
      </c>
      <c r="C13" s="1"/>
      <c r="D13" s="1"/>
    </row>
    <row r="14" spans="1:4" x14ac:dyDescent="0.3">
      <c r="A14" s="1" t="e">
        <v>#DIV/0!</v>
      </c>
      <c r="B14" s="1" t="s">
        <v>47</v>
      </c>
      <c r="C14" s="1"/>
      <c r="D14" s="1"/>
    </row>
    <row r="15" spans="1:4" x14ac:dyDescent="0.3">
      <c r="A15" s="1" t="e">
        <v>#VALUE!</v>
      </c>
      <c r="B15" s="1" t="s">
        <v>48</v>
      </c>
      <c r="C15" s="1"/>
      <c r="D15" s="1"/>
    </row>
    <row r="16" spans="1:4" x14ac:dyDescent="0.3">
      <c r="A16" s="1" t="e">
        <v>#REF!</v>
      </c>
      <c r="B16" s="1" t="s">
        <v>49</v>
      </c>
      <c r="C16" s="1"/>
      <c r="D16" s="1"/>
    </row>
    <row r="17" spans="1:4" x14ac:dyDescent="0.3">
      <c r="A17" s="1" t="e">
        <v>#NAME?</v>
      </c>
      <c r="B17" s="1" t="s">
        <v>50</v>
      </c>
      <c r="C17" s="1"/>
      <c r="D17" s="1"/>
    </row>
    <row r="18" spans="1:4" x14ac:dyDescent="0.3">
      <c r="A18" s="1" t="e">
        <v>#N/A</v>
      </c>
      <c r="B18" s="1" t="s">
        <v>51</v>
      </c>
      <c r="C18" s="1"/>
      <c r="D18" s="1"/>
    </row>
    <row r="19" spans="1:4" x14ac:dyDescent="0.3">
      <c r="A19" s="1"/>
      <c r="B19" s="1"/>
      <c r="C19" s="1"/>
      <c r="D19" s="1"/>
    </row>
    <row r="20" spans="1:4" x14ac:dyDescent="0.3">
      <c r="A20" s="17" t="s">
        <v>52</v>
      </c>
      <c r="B20" s="1"/>
      <c r="C20" s="1"/>
      <c r="D20" s="1"/>
    </row>
    <row r="21" spans="1:4" ht="48" customHeight="1" x14ac:dyDescent="0.3">
      <c r="A21" s="18" t="s">
        <v>53</v>
      </c>
      <c r="B21" s="18"/>
      <c r="C21" s="18"/>
      <c r="D21" s="18"/>
    </row>
  </sheetData>
  <mergeCells count="3">
    <mergeCell ref="A1:D1"/>
    <mergeCell ref="A4:D4"/>
    <mergeCell ref="A21:D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Profit Model</vt:lpstr>
      <vt:lpstr>Audit Guide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Jayesh Khadye</dc:creator>
  <cp:lastModifiedBy>Jayesh Khadye</cp:lastModifiedBy>
  <dcterms:created xsi:type="dcterms:W3CDTF">2026-10-27T16:03:47Z</dcterms:created>
  <dcterms:modified xsi:type="dcterms:W3CDTF">2026-10-27T16:06:00Z</dcterms:modified>
</cp:coreProperties>
</file>