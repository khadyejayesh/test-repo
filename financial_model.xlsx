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esh.khadye\Desktop\test-repo\"/>
    </mc:Choice>
  </mc:AlternateContent>
  <xr:revisionPtr revIDLastSave="0" documentId="8_{08AFFF83-3877-451B-89C4-3767BCD317A1}" xr6:coauthVersionLast="47" xr6:coauthVersionMax="47" xr10:uidLastSave="{00000000-0000-0000-0000-000000000000}"/>
  <bookViews>
    <workbookView xWindow="-108" yWindow="-108" windowWidth="23256" windowHeight="13896" xr2:uid="{66852C5F-5B03-460E-B185-137D6B4591ED}"/>
  </bookViews>
  <sheets>
    <sheet name="Product Sales" sheetId="1" r:id="rId1"/>
    <sheet name="Loan EMI Calculator" sheetId="2" r:id="rId2"/>
    <sheet name="Chart Dat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H3" i="3"/>
  <c r="E2" i="3"/>
  <c r="E3" i="3"/>
  <c r="B2" i="3"/>
  <c r="B3" i="3"/>
  <c r="B4" i="3"/>
  <c r="B5" i="3"/>
  <c r="B6" i="3"/>
  <c r="G8" i="2"/>
  <c r="G9" i="2"/>
  <c r="G3" i="2"/>
  <c r="G4" i="2"/>
  <c r="D5" i="2"/>
  <c r="D7" i="2" s="1"/>
  <c r="D8" i="2" s="1"/>
  <c r="D9" i="2" s="1"/>
  <c r="D6" i="2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<sst xmlns="http://schemas.openxmlformats.org/spreadsheetml/2006/main" count="42" uniqueCount="24">
  <si>
    <t>Product</t>
  </si>
  <si>
    <t>Quantity</t>
  </si>
  <si>
    <t>Price</t>
  </si>
  <si>
    <t>Total Amount</t>
  </si>
  <si>
    <t>Laptop</t>
  </si>
  <si>
    <t>Mouse</t>
  </si>
  <si>
    <t>Keyboard</t>
  </si>
  <si>
    <t>Monitor</t>
  </si>
  <si>
    <t>Printer</t>
  </si>
  <si>
    <t>Grand Total</t>
  </si>
  <si>
    <t>Loan EMI Calculator</t>
  </si>
  <si>
    <t>Loan Amount</t>
  </si>
  <si>
    <t>Interest Rate</t>
  </si>
  <si>
    <t>Loan Period (Years)</t>
  </si>
  <si>
    <t>Monthly Interest Rate</t>
  </si>
  <si>
    <t>Number of Months</t>
  </si>
  <si>
    <t>Monthly EMI</t>
  </si>
  <si>
    <t>Total Payment</t>
  </si>
  <si>
    <t>Total Interest</t>
  </si>
  <si>
    <t>Payment Component</t>
  </si>
  <si>
    <t>Amount</t>
  </si>
  <si>
    <t>Principal Amount</t>
  </si>
  <si>
    <t>Interest Amount</t>
  </si>
  <si>
    <t>Loan 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</si>
</sst>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00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7365D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3" borderId="1" xfId="0" applyNumberFormat="1" applyFill="1" applyBorder="1"/>
    <xf numFmtId="0" fontId="1" fillId="3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0" fontId="0" fillId="4" borderId="0" xfId="0" applyFill="1"/>
    <xf numFmtId="0" fontId="3" fillId="4" borderId="0" xfId="0" applyFont="1" applyFill="1"/>
    <xf numFmtId="164" fontId="0" fillId="0" borderId="0" xfId="0" applyNumberFormat="1"/>
    <xf numFmtId="0" fontId="1" fillId="2" borderId="1" xfId="0" applyFont="1" applyFill="1" applyBorder="1"/>
    <xf numFmtId="164" fontId="0" fillId="5" borderId="1" xfId="0" applyNumberFormat="1" applyFill="1" applyBorder="1"/>
    <xf numFmtId="10" fontId="0" fillId="5" borderId="1" xfId="0" applyNumberFormat="1" applyFill="1" applyBorder="1"/>
    <xf numFmtId="1" fontId="0" fillId="5" borderId="2" xfId="0" applyNumberFormat="1" applyFill="1" applyBorder="1"/>
    <xf numFmtId="165" fontId="0" fillId="3" borderId="1" xfId="0" applyNumberFormat="1" applyFill="1" applyBorder="1"/>
    <xf numFmtId="1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Data'!$A$2:$A$6</c:f>
              <c:strCache>
                <c:ptCount val="5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  <c:pt idx="4">
                  <c:v>Printer</c:v>
                </c:pt>
              </c:strCache>
            </c:strRef>
          </c:cat>
          <c:val>
            <c:numRef>
              <c:f>'Chart Data'!$B$2:$B$6</c:f>
              <c:numCache>
                <c:formatCode>\₹#,##0.00</c:formatCode>
                <c:ptCount val="5"/>
                <c:pt idx="0">
                  <c:v>250000</c:v>
                </c:pt>
                <c:pt idx="1">
                  <c:v>5000</c:v>
                </c:pt>
                <c:pt idx="2">
                  <c:v>9600</c:v>
                </c:pt>
                <c:pt idx="3">
                  <c:v>40000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A-4C7A-8FE8-86A763DB0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6937216"/>
        <c:axId val="1580408080"/>
      </c:barChart>
      <c:catAx>
        <c:axId val="155693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408080"/>
        <c:crosses val="autoZero"/>
        <c:auto val="1"/>
        <c:lblAlgn val="ctr"/>
        <c:lblOffset val="100"/>
        <c:noMultiLvlLbl val="0"/>
      </c:catAx>
      <c:valAx>
        <c:axId val="1580408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372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Principal vs Interest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Data'!$E$1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 Data'!$D$2:$D$3</c:f>
              <c:strCache>
                <c:ptCount val="2"/>
                <c:pt idx="0">
                  <c:v>Principal Amount</c:v>
                </c:pt>
                <c:pt idx="1">
                  <c:v>Interest Amount</c:v>
                </c:pt>
              </c:strCache>
            </c:strRef>
          </c:cat>
          <c:val>
            <c:numRef>
              <c:f>'Chart Data'!$E$2:$E$3</c:f>
              <c:numCache>
                <c:formatCode>\₹#,##0.00</c:formatCode>
                <c:ptCount val="2"/>
                <c:pt idx="0">
                  <c:v>500000</c:v>
                </c:pt>
                <c:pt idx="1">
                  <c:v>122750.65679062018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801-8421-FE3695F78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EMI vs Total Interest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₹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Data'!$G$2:$G$3</c:f>
              <c:strCache>
                <c:ptCount val="2"/>
                <c:pt idx="0">
                  <c:v>Monthly EMI</c:v>
                </c:pt>
                <c:pt idx="1">
                  <c:v>Total Interest</c:v>
                </c:pt>
              </c:strCache>
            </c:strRef>
          </c:cat>
          <c:val>
            <c:numRef>
              <c:f>'Chart Data'!$H$2:$H$3</c:f>
              <c:numCache>
                <c:formatCode>\₹#,##0.00</c:formatCode>
                <c:ptCount val="2"/>
                <c:pt idx="0">
                  <c:v>10379.177613177004</c:v>
                </c:pt>
                <c:pt idx="1">
                  <c:v>122750.65679062018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B-479B-B251-BF31E6E66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8749056"/>
        <c:axId val="1580350960"/>
      </c:barChart>
      <c:catAx>
        <c:axId val="155874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350960"/>
        <c:crosses val="autoZero"/>
        <c:auto val="1"/>
        <c:lblAlgn val="ctr"/>
        <c:lblOffset val="100"/>
        <c:noMultiLvlLbl val="0"/>
      </c:catAx>
      <c:valAx>
        <c:axId val="1580350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490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Total Sales by Product">
          <a:extLst>
            <a:ext uri="{FF2B5EF4-FFF2-40B4-BE49-F238E27FC236}">
              <a16:creationId xmlns:a16="http://schemas.microsoft.com/office/drawing/2014/main" id="{B4F566C7-B155-C728-D6F7-AE564A121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15</xdr:row>
      <xdr:rowOff>0</xdr:rowOff>
    </xdr:to>
    <xdr:graphicFrame macro="">
      <xdr:nvGraphicFramePr>
        <xdr:cNvPr id="3" name="Principal and Interest Breakdown">
          <a:extLst>
            <a:ext uri="{FF2B5EF4-FFF2-40B4-BE49-F238E27FC236}">
              <a16:creationId xmlns:a16="http://schemas.microsoft.com/office/drawing/2014/main" id="{DFA333E1-C309-FB7F-49CE-2478DE267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4" name="EMI and Total Interest">
          <a:extLst>
            <a:ext uri="{FF2B5EF4-FFF2-40B4-BE49-F238E27FC236}">
              <a16:creationId xmlns:a16="http://schemas.microsoft.com/office/drawing/2014/main" id="{6721ACFB-483D-606E-C871-B3B7806C1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29B3E-6273-495C-94E7-2E5D3AE3598F}">
  <dimension ref="A1:D7"/>
  <sheetViews>
    <sheetView tabSelected="1" workbookViewId="0">
      <selection activeCell="D16" sqref="D16"/>
    </sheetView>
  </sheetViews>
  <sheetFormatPr defaultRowHeight="14.4" x14ac:dyDescent="0.3"/>
  <cols>
    <col min="1" max="1" width="19.44140625" customWidth="1"/>
    <col min="2" max="2" width="13.88671875" customWidth="1"/>
    <col min="3" max="4" width="19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6">
        <v>5</v>
      </c>
      <c r="C2" s="7">
        <v>50000</v>
      </c>
      <c r="D2" s="7">
        <f>B2*C2</f>
        <v>250000</v>
      </c>
    </row>
    <row r="3" spans="1:4" x14ac:dyDescent="0.3">
      <c r="A3" s="3" t="s">
        <v>5</v>
      </c>
      <c r="B3" s="6">
        <v>10</v>
      </c>
      <c r="C3" s="7">
        <v>500</v>
      </c>
      <c r="D3" s="7">
        <f t="shared" ref="D3:D6" si="0">B3*C3</f>
        <v>5000</v>
      </c>
    </row>
    <row r="4" spans="1:4" x14ac:dyDescent="0.3">
      <c r="A4" s="3" t="s">
        <v>6</v>
      </c>
      <c r="B4" s="6">
        <v>8</v>
      </c>
      <c r="C4" s="7">
        <v>1200</v>
      </c>
      <c r="D4" s="7">
        <f t="shared" si="0"/>
        <v>9600</v>
      </c>
    </row>
    <row r="5" spans="1:4" x14ac:dyDescent="0.3">
      <c r="A5" s="3" t="s">
        <v>7</v>
      </c>
      <c r="B5" s="6">
        <v>4</v>
      </c>
      <c r="C5" s="7">
        <v>10000</v>
      </c>
      <c r="D5" s="7">
        <f t="shared" si="0"/>
        <v>40000</v>
      </c>
    </row>
    <row r="6" spans="1:4" x14ac:dyDescent="0.3">
      <c r="A6" s="3" t="s">
        <v>8</v>
      </c>
      <c r="B6" s="6">
        <v>2</v>
      </c>
      <c r="C6" s="7">
        <v>15000</v>
      </c>
      <c r="D6" s="7">
        <f t="shared" si="0"/>
        <v>30000</v>
      </c>
    </row>
    <row r="7" spans="1:4" x14ac:dyDescent="0.3">
      <c r="A7" s="5" t="s">
        <v>9</v>
      </c>
      <c r="B7" s="5"/>
      <c r="C7" s="8"/>
      <c r="D7" s="8">
        <f>SUM(D2:D6)</f>
        <v>334600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5EAF-8A76-4C53-947D-16CB1F7B6407}">
  <dimension ref="A1:G9"/>
  <sheetViews>
    <sheetView workbookViewId="0"/>
  </sheetViews>
  <sheetFormatPr defaultRowHeight="14.4" x14ac:dyDescent="0.3"/>
  <cols>
    <col min="1" max="1" width="23.109375" customWidth="1"/>
    <col min="2" max="2" width="25" customWidth="1"/>
    <col min="3" max="3" width="4.6640625" customWidth="1"/>
    <col min="4" max="4" width="21.33203125" customWidth="1"/>
    <col min="6" max="6" width="23.109375" customWidth="1"/>
    <col min="7" max="7" width="20.33203125" customWidth="1"/>
  </cols>
  <sheetData>
    <row r="1" spans="1:7" ht="21" x14ac:dyDescent="0.4">
      <c r="A1" s="10" t="s">
        <v>10</v>
      </c>
      <c r="B1" s="9"/>
      <c r="C1" s="9"/>
      <c r="D1" s="9"/>
    </row>
    <row r="2" spans="1:7" x14ac:dyDescent="0.3">
      <c r="A2" s="12" t="s">
        <v>11</v>
      </c>
      <c r="B2" s="13">
        <v>500000</v>
      </c>
      <c r="F2" s="1" t="s">
        <v>19</v>
      </c>
      <c r="G2" s="1" t="s">
        <v>20</v>
      </c>
    </row>
    <row r="3" spans="1:7" x14ac:dyDescent="0.3">
      <c r="A3" s="12" t="s">
        <v>12</v>
      </c>
      <c r="B3" s="14">
        <v>0.09</v>
      </c>
      <c r="F3" t="s">
        <v>21</v>
      </c>
      <c r="G3" s="11">
        <f>B2</f>
        <v>500000</v>
      </c>
    </row>
    <row r="4" spans="1:7" x14ac:dyDescent="0.3">
      <c r="A4" s="12" t="s">
        <v>13</v>
      </c>
      <c r="B4" s="15">
        <v>5</v>
      </c>
      <c r="F4" t="s">
        <v>22</v>
      </c>
      <c r="G4" s="11">
        <f>D9</f>
        <v>122750.65679062018</v>
      </c>
    </row>
    <row r="5" spans="1:7" x14ac:dyDescent="0.3">
      <c r="B5" s="12" t="s">
        <v>14</v>
      </c>
      <c r="C5" s="3"/>
      <c r="D5" s="16">
        <f>B3/12</f>
        <v>7.4999999999999997E-3</v>
      </c>
    </row>
    <row r="6" spans="1:7" x14ac:dyDescent="0.3">
      <c r="B6" s="12" t="s">
        <v>15</v>
      </c>
      <c r="C6" s="3"/>
      <c r="D6" s="17">
        <f>B4*12</f>
        <v>60</v>
      </c>
    </row>
    <row r="7" spans="1:7" x14ac:dyDescent="0.3">
      <c r="B7" s="12" t="s">
        <v>16</v>
      </c>
      <c r="C7" s="3"/>
      <c r="D7" s="4">
        <f>PMT(D5,D6,-B2)</f>
        <v>10379.177613177004</v>
      </c>
      <c r="F7" s="1" t="s">
        <v>23</v>
      </c>
      <c r="G7" s="1" t="s">
        <v>20</v>
      </c>
    </row>
    <row r="8" spans="1:7" x14ac:dyDescent="0.3">
      <c r="B8" s="12" t="s">
        <v>17</v>
      </c>
      <c r="C8" s="3"/>
      <c r="D8" s="4">
        <f>D7*D6</f>
        <v>622750.65679062018</v>
      </c>
      <c r="F8" t="s">
        <v>16</v>
      </c>
      <c r="G8" s="11">
        <f>D7</f>
        <v>10379.177613177004</v>
      </c>
    </row>
    <row r="9" spans="1:7" x14ac:dyDescent="0.3">
      <c r="B9" s="12" t="s">
        <v>18</v>
      </c>
      <c r="C9" s="3"/>
      <c r="D9" s="4">
        <f>D8-B2</f>
        <v>122750.65679062018</v>
      </c>
      <c r="F9" t="s">
        <v>18</v>
      </c>
      <c r="G9" s="11">
        <f>D9</f>
        <v>122750.65679062018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9F18-564E-49ED-A36D-3123CF877085}">
  <dimension ref="A1:H6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3</v>
      </c>
      <c r="D1" t="s">
        <v>19</v>
      </c>
      <c r="E1" t="s">
        <v>20</v>
      </c>
      <c r="G1" t="s">
        <v>23</v>
      </c>
      <c r="H1" t="s">
        <v>20</v>
      </c>
    </row>
    <row r="2" spans="1:8" x14ac:dyDescent="0.3">
      <c r="A2" t="s">
        <v>4</v>
      </c>
      <c r="B2" s="11">
        <f>'Product Sales'!D2</f>
        <v>250000</v>
      </c>
      <c r="D2" t="s">
        <v>21</v>
      </c>
      <c r="E2" s="11">
        <f>'Loan EMI Calculator'!B2</f>
        <v>500000</v>
      </c>
      <c r="G2" t="s">
        <v>16</v>
      </c>
      <c r="H2" s="11">
        <f>'Loan EMI Calculator'!D7</f>
        <v>10379.177613177004</v>
      </c>
    </row>
    <row r="3" spans="1:8" x14ac:dyDescent="0.3">
      <c r="A3" t="s">
        <v>5</v>
      </c>
      <c r="B3" s="11">
        <f>'Product Sales'!D3</f>
        <v>5000</v>
      </c>
      <c r="D3" t="s">
        <v>22</v>
      </c>
      <c r="E3" s="11">
        <f>'Loan EMI Calculator'!D9</f>
        <v>122750.65679062018</v>
      </c>
      <c r="G3" t="s">
        <v>18</v>
      </c>
      <c r="H3" s="11">
        <f>'Loan EMI Calculator'!D9</f>
        <v>122750.65679062018</v>
      </c>
    </row>
    <row r="4" spans="1:8" x14ac:dyDescent="0.3">
      <c r="A4" t="s">
        <v>6</v>
      </c>
      <c r="B4" s="11">
        <f>'Product Sales'!D4</f>
        <v>9600</v>
      </c>
    </row>
    <row r="5" spans="1:8" x14ac:dyDescent="0.3">
      <c r="A5" t="s">
        <v>7</v>
      </c>
      <c r="B5" s="11">
        <f>'Product Sales'!D5</f>
        <v>40000</v>
      </c>
    </row>
    <row r="6" spans="1:8" x14ac:dyDescent="0.3">
      <c r="A6" t="s">
        <v>8</v>
      </c>
      <c r="B6" s="11">
        <f>'Product Sales'!D6</f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Sales</vt:lpstr>
      <vt:lpstr>Loan EMI Calculator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Khadye</dc:creator>
  <cp:lastModifiedBy>Jayesh Khadye</cp:lastModifiedBy>
  <dcterms:created xsi:type="dcterms:W3CDTF">2026-10-27T15:56:07Z</dcterms:created>
  <dcterms:modified xsi:type="dcterms:W3CDTF">2026-10-27T15:58:45Z</dcterms:modified>
</cp:coreProperties>
</file>